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e des risques" sheetId="1" state="visible" r:id="rId3"/>
    <sheet name="Matrice" sheetId="2" state="visible" r:id="rId4"/>
  </sheets>
  <definedNames>
    <definedName function="false" hidden="true" localSheetId="0" name="_xlnm._FilterDatabase" vbProcedure="false">'Registre des risques'!$A$1:$M$14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<sst xmlns="http://schemas.openxmlformats.org/spreadsheetml/2006/main" count="170" uniqueCount="96">
  <si>
    <t xml:space="preserve">ID</t>
  </si>
  <si>
    <t xml:space="preserve">Risque</t>
  </si>
  <si>
    <t xml:space="preserve">Catégorie</t>
  </si>
  <si>
    <t xml:space="preserve">Probabilité</t>
  </si>
  <si>
    <t xml:space="preserve">Impact</t>
  </si>
  <si>
    <t xml:space="preserve">Score</t>
  </si>
  <si>
    <t xml:space="preserve">Niveau</t>
  </si>
  <si>
    <t xml:space="preserve">Mesure de maîtrise</t>
  </si>
  <si>
    <t xml:space="preserve">Statut de la mesure</t>
  </si>
  <si>
    <t xml:space="preserve">Responsable</t>
  </si>
  <si>
    <t xml:space="preserve">Preuve</t>
  </si>
  <si>
    <t xml:space="preserve">Risque résiduel</t>
  </si>
  <si>
    <t xml:space="preserve">Acceptation du risque résiduel</t>
  </si>
  <si>
    <t xml:space="preserve">R-01</t>
  </si>
  <si>
    <t xml:space="preserve">Fuite de données entre entraînement et test</t>
  </si>
  <si>
    <t xml:space="preserve">Modèle</t>
  </si>
  <si>
    <t xml:space="preserve">Moyenne</t>
  </si>
  <si>
    <t xml:space="preserve">Élevé</t>
  </si>
  <si>
    <t xml:space="preserve">Split temporel, variables retardées et revue du protocole</t>
  </si>
  <si>
    <t xml:space="preserve">En place</t>
  </si>
  <si>
    <t xml:space="preserve">ML engineer</t>
  </si>
  <si>
    <t xml:space="preserve">evaluation_forecasting_report.json</t>
  </si>
  <si>
    <t xml:space="preserve">Faible</t>
  </si>
  <si>
    <t xml:space="preserve">R-02</t>
  </si>
  <si>
    <t xml:space="preserve">Données incorrectes ou incomplètes</t>
  </si>
  <si>
    <t xml:space="preserve">Données</t>
  </si>
  <si>
    <t xml:space="preserve">Élevée</t>
  </si>
  <si>
    <t xml:space="preserve">Validation, quarantaine, contrôles métier et rapport qualité</t>
  </si>
  <si>
    <t xml:space="preserve">Data engineer</t>
  </si>
  <si>
    <t xml:space="preserve">quality_report.json ; 003_quality_checks.sql</t>
  </si>
  <si>
    <t xml:space="preserve">Moyen</t>
  </si>
  <si>
    <t xml:space="preserve">R-03</t>
  </si>
  <si>
    <t xml:space="preserve">Dérive de la demande</t>
  </si>
  <si>
    <t xml:space="preserve">Suivi MAE/RMSE, comparaison à la référence et politique de réentraînement</t>
  </si>
  <si>
    <t xml:space="preserve">monitoring_report.json ; drift_report.json</t>
  </si>
  <si>
    <t xml:space="preserve">R-04</t>
  </si>
  <si>
    <t xml:space="preserve">Surconfiance dans la recommandation</t>
  </si>
  <si>
    <t xml:space="preserve">Métier</t>
  </si>
  <si>
    <t xml:space="preserve">Validation humaine et affichage explicite des limites</t>
  </si>
  <si>
    <t xml:space="preserve">Propriétaire métier</t>
  </si>
  <si>
    <t xml:space="preserve">explainability_report.json</t>
  </si>
  <si>
    <t xml:space="preserve">R-05</t>
  </si>
  <si>
    <t xml:space="preserve">Secret exposé dans le dépôt</t>
  </si>
  <si>
    <t xml:space="preserve">Sécurité</t>
  </si>
  <si>
    <t xml:space="preserve">Variables d’environnement (.env non versionné), .gitignore, scan de secrets (gitleaks) en CI et revue avant dépôt</t>
  </si>
  <si>
    <t xml:space="preserve">Responsable sécurité</t>
  </si>
  <si>
    <t xml:space="preserve">.env.example ; .gitignore ; .github/workflows/secret-scan.yml</t>
  </si>
  <si>
    <t xml:space="preserve">R-06</t>
  </si>
  <si>
    <t xml:space="preserve">Biais de disponibilité par catégorie</t>
  </si>
  <si>
    <t xml:space="preserve">Équité</t>
  </si>
  <si>
    <t xml:space="preserve">Analyse d’erreur par catégorie et documentation des limites</t>
  </si>
  <si>
    <t xml:space="preserve">bias_report.json</t>
  </si>
  <si>
    <t xml:space="preserve">R-07</t>
  </si>
  <si>
    <t xml:space="preserve">Indisponibilité du stockage</t>
  </si>
  <si>
    <t xml:space="preserve">Architecture</t>
  </si>
  <si>
    <t xml:space="preserve">Docker Compose, SQLite de secours et scripts reproductibles</t>
  </si>
  <si>
    <t xml:space="preserve">architecture_decisions.md</t>
  </si>
  <si>
    <t xml:space="preserve">R-08</t>
  </si>
  <si>
    <t xml:space="preserve">Erreur silencieuse du pipeline</t>
  </si>
  <si>
    <t xml:space="preserve">Opérations</t>
  </si>
  <si>
    <t xml:space="preserve">Logs, codes de retour, rapports et tests d’intégration</t>
  </si>
  <si>
    <t xml:space="preserve">pipeline_report.json</t>
  </si>
  <si>
    <t xml:space="preserve">R-09</t>
  </si>
  <si>
    <t xml:space="preserve">Accès non autorisé à la base de données</t>
  </si>
  <si>
    <t xml:space="preserve">Rôles de moindre privilège (lecture, écriture, maintenance), mots de passe hors dépôt, port limité à 127.0.0.1</t>
  </si>
  <si>
    <t xml:space="preserve">004_roles.sql ; docker-compose.yml</t>
  </si>
  <si>
    <t xml:space="preserve">R-10</t>
  </si>
  <si>
    <t xml:space="preserve">Introduction de données personnelles réelles</t>
  </si>
  <si>
    <t xml:space="preserve">Conformité</t>
  </si>
  <si>
    <t xml:space="preserve">Périmètre synthétique documenté, procédure d’exercice des droits, analyse d’impact avant toute donnée réelle</t>
  </si>
  <si>
    <t xml:space="preserve">Data owner</t>
  </si>
  <si>
    <t xml:space="preserve">data_subject_rights.md ; plan_gouvernance.md</t>
  </si>
  <si>
    <t xml:space="preserve">R-11</t>
  </si>
  <si>
    <t xml:space="preserve">Sous-estimation de la demande pendant les ruptures</t>
  </si>
  <si>
    <t xml:space="preserve">Signaler ou exclure les semaines en rupture (stockout_flag) de l’entraînement et documenter la limite</t>
  </si>
  <si>
    <t xml:space="preserve">Planifiée</t>
  </si>
  <si>
    <t xml:space="preserve">— (à produire : bias_report.json)</t>
  </si>
  <si>
    <t xml:space="preserve">R-12</t>
  </si>
  <si>
    <t xml:space="preserve">Évaluation trop optimiste du modèle</t>
  </si>
  <si>
    <t xml:space="preserve">Baseline saisonnière, rétro-test glissant sur plusieurs fenêtres de 12 semaines, métriques MAE, RMSE et WAPE</t>
  </si>
  <si>
    <t xml:space="preserve">— (à produire : evaluation_forecasting_report.json)</t>
  </si>
  <si>
    <t xml:space="preserve">R-13</t>
  </si>
  <si>
    <t xml:space="preserve">Dépendance logicielle vulnérable</t>
  </si>
  <si>
    <t xml:space="preserve">Analyse des dépendances (pip-audit ou Dependabot) en CI, versions épinglées dans requirements.txt</t>
  </si>
  <si>
    <t xml:space="preserve">— (à produire : rapport pip-audit)</t>
  </si>
  <si>
    <t xml:space="preserve">Niveau selon le score</t>
  </si>
  <si>
    <t xml:space="preserve">Score minimal</t>
  </si>
  <si>
    <t xml:space="preserve">Critique</t>
  </si>
  <si>
    <t xml:space="preserve">Grille probabilité x impact</t>
  </si>
  <si>
    <t xml:space="preserve">Probabilité et impact</t>
  </si>
  <si>
    <t xml:space="preserve">Convention</t>
  </si>
  <si>
    <t xml:space="preserve">Niveau = score de probabilité x score d’impact, converti avec le tableau Score minimal / Niveau.</t>
  </si>
  <si>
    <t xml:space="preserve">Le niveau et l’acceptation sont calculés par formule : modifier uniquement la probabilité, l’impact et le risque résiduel.</t>
  </si>
  <si>
    <t xml:space="preserve">Risque résiduel : évalué après application de la mesure. Un résiduel Moyen est à valider par le propriétaire métier ; Élevé ou Critique impose un plan d’action.</t>
  </si>
  <si>
    <t xml:space="preserve">Statut de la mesure : En place (preuve disponible) ou Planifiée (preuve à produire).</t>
  </si>
  <si>
    <t xml:space="preserve">Revue du registre : chaque trimestre et à chaque réentraînement du modèle.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</si>
</sst>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color rgb="FF000000"/>
      </font>
      <fill>
        <patternFill>
          <bgColor rgb="FFF4B183"/>
        </patternFill>
      </fill>
    </dxf>
    <dxf>
      <font>
        <color rgb="FF000000"/>
      </font>
      <fill>
        <patternFill>
          <bgColor rgb="FFFFE699"/>
        </patternFill>
      </fill>
    </dxf>
    <dxf>
      <font>
        <color rgb="FF000000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52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40"/>
    <col collapsed="false" customWidth="true" hidden="false" outlineLevel="0" max="12" min="12" style="0" width="14"/>
    <col collapsed="false" customWidth="true" hidden="false" outlineLevel="0" max="13" min="13" style="0" width="34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8.3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n">
        <f aca="false">INDEX(Matrice!$B$3:$B$5,MATCH(D2,Matrice!$A$3:$A$5,0))*INDEX(Matrice!$E$3:$E$5,MATCH(E2,Matrice!$D$3:$D$5,0))</f>
        <v>6</v>
      </c>
      <c r="G2" s="2" t="str">
        <f aca="false">INDEX(Matrice!$H$3:$H$6,MATCH(F2,Matrice!$G$3:$G$6,1))</f>
        <v>Élevé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tr">
        <f aca="false">IF(OR(L2="Élevé",L2="Critique"),"Non acceptable : plan d’action requis",IF(L2="Moyen","À valider par le propriétaire métier","Acceptable sans validation"))</f>
        <v>Acceptable sans validation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17</v>
      </c>
      <c r="F3" s="2" t="n">
        <f aca="false">INDEX(Matrice!$B$3:$B$5,MATCH(D3,Matrice!$A$3:$A$5,0))*INDEX(Matrice!$E$3:$E$5,MATCH(E3,Matrice!$D$3:$D$5,0))</f>
        <v>9</v>
      </c>
      <c r="G3" s="2" t="str">
        <f aca="false">INDEX(Matrice!$H$3:$H$6,MATCH(F3,Matrice!$G$3:$G$6,1))</f>
        <v>Critique</v>
      </c>
      <c r="H3" s="2" t="s">
        <v>27</v>
      </c>
      <c r="I3" s="2" t="s">
        <v>19</v>
      </c>
      <c r="J3" s="2" t="s">
        <v>28</v>
      </c>
      <c r="K3" s="2" t="s">
        <v>29</v>
      </c>
      <c r="L3" s="2" t="s">
        <v>30</v>
      </c>
      <c r="M3" s="2" t="str">
        <f aca="false">IF(OR(L3="Élevé",L3="Critique"),"Non acceptable : plan d’action requis",IF(L3="Moyen","À valider par le propriétaire métier","Acceptable sans validation"))</f>
        <v>À valider par le propriétaire métier</v>
      </c>
    </row>
    <row r="4" customFormat="false" ht="28.35" hidden="false" customHeight="false" outlineLevel="0" collapsed="fals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n">
        <f aca="false">INDEX(Matrice!$B$3:$B$5,MATCH(D4,Matrice!$A$3:$A$5,0))*INDEX(Matrice!$E$3:$E$5,MATCH(E4,Matrice!$D$3:$D$5,0))</f>
        <v>6</v>
      </c>
      <c r="G4" s="2" t="str">
        <f aca="false">INDEX(Matrice!$H$3:$H$6,MATCH(F4,Matrice!$G$3:$G$6,1))</f>
        <v>Élevé</v>
      </c>
      <c r="H4" s="2" t="s">
        <v>33</v>
      </c>
      <c r="I4" s="2" t="s">
        <v>19</v>
      </c>
      <c r="J4" s="2" t="s">
        <v>20</v>
      </c>
      <c r="K4" s="2" t="s">
        <v>34</v>
      </c>
      <c r="L4" s="2" t="s">
        <v>30</v>
      </c>
      <c r="M4" s="2" t="str">
        <f aca="false">IF(OR(L4="Élevé",L4="Critique"),"Non acceptable : plan d’action requis",IF(L4="Moyen","À valider par le propriétaire métier","Acceptable sans validation"))</f>
        <v>À valider par le propriétaire métier</v>
      </c>
    </row>
    <row r="5" customFormat="false" ht="15" hidden="false" customHeight="false" outlineLevel="0" collapsed="false">
      <c r="A5" s="2" t="s">
        <v>35</v>
      </c>
      <c r="B5" s="2" t="s">
        <v>36</v>
      </c>
      <c r="C5" s="2" t="s">
        <v>37</v>
      </c>
      <c r="D5" s="2" t="s">
        <v>16</v>
      </c>
      <c r="E5" s="2" t="s">
        <v>17</v>
      </c>
      <c r="F5" s="2" t="n">
        <f aca="false">INDEX(Matrice!$B$3:$B$5,MATCH(D5,Matrice!$A$3:$A$5,0))*INDEX(Matrice!$E$3:$E$5,MATCH(E5,Matrice!$D$3:$D$5,0))</f>
        <v>6</v>
      </c>
      <c r="G5" s="2" t="str">
        <f aca="false">INDEX(Matrice!$H$3:$H$6,MATCH(F5,Matrice!$G$3:$G$6,1))</f>
        <v>Élevé</v>
      </c>
      <c r="H5" s="2" t="s">
        <v>38</v>
      </c>
      <c r="I5" s="2" t="s">
        <v>19</v>
      </c>
      <c r="J5" s="2" t="s">
        <v>39</v>
      </c>
      <c r="K5" s="2" t="s">
        <v>40</v>
      </c>
      <c r="L5" s="2" t="s">
        <v>22</v>
      </c>
      <c r="M5" s="2" t="str">
        <f aca="false">IF(OR(L5="Élevé",L5="Critique"),"Non acceptable : plan d’action requis",IF(L5="Moyen","À valider par le propriétaire métier","Acceptable sans validation"))</f>
        <v>Acceptable sans validation</v>
      </c>
    </row>
    <row r="6" customFormat="false" ht="28.35" hidden="false" customHeight="false" outlineLevel="0" collapsed="false">
      <c r="A6" s="2" t="s">
        <v>41</v>
      </c>
      <c r="B6" s="2" t="s">
        <v>42</v>
      </c>
      <c r="C6" s="2" t="s">
        <v>43</v>
      </c>
      <c r="D6" s="2" t="s">
        <v>22</v>
      </c>
      <c r="E6" s="2" t="s">
        <v>17</v>
      </c>
      <c r="F6" s="2" t="n">
        <f aca="false">INDEX(Matrice!$B$3:$B$5,MATCH(D6,Matrice!$A$3:$A$5,0))*INDEX(Matrice!$E$3:$E$5,MATCH(E6,Matrice!$D$3:$D$5,0))</f>
        <v>3</v>
      </c>
      <c r="G6" s="2" t="str">
        <f aca="false">INDEX(Matrice!$H$3:$H$6,MATCH(F6,Matrice!$G$3:$G$6,1))</f>
        <v>Moyen</v>
      </c>
      <c r="H6" s="2" t="s">
        <v>44</v>
      </c>
      <c r="I6" s="2" t="s">
        <v>19</v>
      </c>
      <c r="J6" s="2" t="s">
        <v>45</v>
      </c>
      <c r="K6" s="2" t="s">
        <v>46</v>
      </c>
      <c r="L6" s="2" t="s">
        <v>22</v>
      </c>
      <c r="M6" s="2" t="str">
        <f aca="false">IF(OR(L6="Élevé",L6="Critique"),"Non acceptable : plan d’action requis",IF(L6="Moyen","À valider par le propriétaire métier","Acceptable sans validation"))</f>
        <v>Acceptable sans validation</v>
      </c>
    </row>
    <row r="7" customFormat="false" ht="15" hidden="false" customHeight="false" outlineLevel="0" collapsed="false">
      <c r="A7" s="2" t="s">
        <v>47</v>
      </c>
      <c r="B7" s="2" t="s">
        <v>48</v>
      </c>
      <c r="C7" s="2" t="s">
        <v>49</v>
      </c>
      <c r="D7" s="2" t="s">
        <v>16</v>
      </c>
      <c r="E7" s="2" t="s">
        <v>30</v>
      </c>
      <c r="F7" s="2" t="n">
        <f aca="false">INDEX(Matrice!$B$3:$B$5,MATCH(D7,Matrice!$A$3:$A$5,0))*INDEX(Matrice!$E$3:$E$5,MATCH(E7,Matrice!$D$3:$D$5,0))</f>
        <v>4</v>
      </c>
      <c r="G7" s="2" t="str">
        <f aca="false">INDEX(Matrice!$H$3:$H$6,MATCH(F7,Matrice!$G$3:$G$6,1))</f>
        <v>Moyen</v>
      </c>
      <c r="H7" s="2" t="s">
        <v>50</v>
      </c>
      <c r="I7" s="2" t="s">
        <v>19</v>
      </c>
      <c r="J7" s="2" t="s">
        <v>20</v>
      </c>
      <c r="K7" s="2" t="s">
        <v>51</v>
      </c>
      <c r="L7" s="2" t="s">
        <v>30</v>
      </c>
      <c r="M7" s="2" t="str">
        <f aca="false">IF(OR(L7="Élevé",L7="Critique"),"Non acceptable : plan d’action requis",IF(L7="Moyen","À valider par le propriétaire métier","Acceptable sans validation"))</f>
        <v>À valider par le propriétaire métier</v>
      </c>
    </row>
    <row r="8" customFormat="false" ht="15" hidden="false" customHeight="false" outlineLevel="0" collapsed="false">
      <c r="A8" s="2" t="s">
        <v>52</v>
      </c>
      <c r="B8" s="2" t="s">
        <v>53</v>
      </c>
      <c r="C8" s="2" t="s">
        <v>54</v>
      </c>
      <c r="D8" s="2" t="s">
        <v>22</v>
      </c>
      <c r="E8" s="2" t="s">
        <v>17</v>
      </c>
      <c r="F8" s="2" t="n">
        <f aca="false">INDEX(Matrice!$B$3:$B$5,MATCH(D8,Matrice!$A$3:$A$5,0))*INDEX(Matrice!$E$3:$E$5,MATCH(E8,Matrice!$D$3:$D$5,0))</f>
        <v>3</v>
      </c>
      <c r="G8" s="2" t="str">
        <f aca="false">INDEX(Matrice!$H$3:$H$6,MATCH(F8,Matrice!$G$3:$G$6,1))</f>
        <v>Moyen</v>
      </c>
      <c r="H8" s="2" t="s">
        <v>55</v>
      </c>
      <c r="I8" s="2" t="s">
        <v>19</v>
      </c>
      <c r="J8" s="2" t="s">
        <v>28</v>
      </c>
      <c r="K8" s="2" t="s">
        <v>56</v>
      </c>
      <c r="L8" s="2" t="s">
        <v>22</v>
      </c>
      <c r="M8" s="2" t="str">
        <f aca="false">IF(OR(L8="Élevé",L8="Critique"),"Non acceptable : plan d’action requis",IF(L8="Moyen","À valider par le propriétaire métier","Acceptable sans validation"))</f>
        <v>Acceptable sans validation</v>
      </c>
    </row>
    <row r="9" customFormat="false" ht="15" hidden="false" customHeight="false" outlineLevel="0" collapsed="false">
      <c r="A9" s="2" t="s">
        <v>57</v>
      </c>
      <c r="B9" s="2" t="s">
        <v>58</v>
      </c>
      <c r="C9" s="2" t="s">
        <v>59</v>
      </c>
      <c r="D9" s="2" t="s">
        <v>16</v>
      </c>
      <c r="E9" s="2" t="s">
        <v>17</v>
      </c>
      <c r="F9" s="2" t="n">
        <f aca="false">INDEX(Matrice!$B$3:$B$5,MATCH(D9,Matrice!$A$3:$A$5,0))*INDEX(Matrice!$E$3:$E$5,MATCH(E9,Matrice!$D$3:$D$5,0))</f>
        <v>6</v>
      </c>
      <c r="G9" s="2" t="str">
        <f aca="false">INDEX(Matrice!$H$3:$H$6,MATCH(F9,Matrice!$G$3:$G$6,1))</f>
        <v>Élevé</v>
      </c>
      <c r="H9" s="2" t="s">
        <v>60</v>
      </c>
      <c r="I9" s="2" t="s">
        <v>19</v>
      </c>
      <c r="J9" s="2" t="s">
        <v>28</v>
      </c>
      <c r="K9" s="2" t="s">
        <v>61</v>
      </c>
      <c r="L9" s="2" t="s">
        <v>22</v>
      </c>
      <c r="M9" s="2" t="str">
        <f aca="false">IF(OR(L9="Élevé",L9="Critique"),"Non acceptable : plan d’action requis",IF(L9="Moyen","À valider par le propriétaire métier","Acceptable sans validation"))</f>
        <v>Acceptable sans validation</v>
      </c>
    </row>
    <row r="10" customFormat="false" ht="28.35" hidden="false" customHeight="false" outlineLevel="0" collapsed="false">
      <c r="A10" s="2" t="s">
        <v>62</v>
      </c>
      <c r="B10" s="2" t="s">
        <v>63</v>
      </c>
      <c r="C10" s="2" t="s">
        <v>43</v>
      </c>
      <c r="D10" s="2" t="s">
        <v>22</v>
      </c>
      <c r="E10" s="2" t="s">
        <v>30</v>
      </c>
      <c r="F10" s="2" t="n">
        <f aca="false">INDEX(Matrice!$B$3:$B$5,MATCH(D10,Matrice!$A$3:$A$5,0))*INDEX(Matrice!$E$3:$E$5,MATCH(E10,Matrice!$D$3:$D$5,0))</f>
        <v>2</v>
      </c>
      <c r="G10" s="2" t="str">
        <f aca="false">INDEX(Matrice!$H$3:$H$6,MATCH(F10,Matrice!$G$3:$G$6,1))</f>
        <v>Faible</v>
      </c>
      <c r="H10" s="2" t="s">
        <v>64</v>
      </c>
      <c r="I10" s="2" t="s">
        <v>19</v>
      </c>
      <c r="J10" s="2" t="s">
        <v>45</v>
      </c>
      <c r="K10" s="2" t="s">
        <v>65</v>
      </c>
      <c r="L10" s="2" t="s">
        <v>22</v>
      </c>
      <c r="M10" s="2" t="str">
        <f aca="false">IF(OR(L10="Élevé",L10="Critique"),"Non acceptable : plan d’action requis",IF(L10="Moyen","À valider par le propriétaire métier","Acceptable sans validation"))</f>
        <v>Acceptable sans validation</v>
      </c>
    </row>
    <row r="11" customFormat="false" ht="28.35" hidden="false" customHeight="false" outlineLevel="0" collapsed="false">
      <c r="A11" s="2" t="s">
        <v>66</v>
      </c>
      <c r="B11" s="2" t="s">
        <v>67</v>
      </c>
      <c r="C11" s="2" t="s">
        <v>68</v>
      </c>
      <c r="D11" s="2" t="s">
        <v>22</v>
      </c>
      <c r="E11" s="2" t="s">
        <v>17</v>
      </c>
      <c r="F11" s="2" t="n">
        <f aca="false">INDEX(Matrice!$B$3:$B$5,MATCH(D11,Matrice!$A$3:$A$5,0))*INDEX(Matrice!$E$3:$E$5,MATCH(E11,Matrice!$D$3:$D$5,0))</f>
        <v>3</v>
      </c>
      <c r="G11" s="2" t="str">
        <f aca="false">INDEX(Matrice!$H$3:$H$6,MATCH(F11,Matrice!$G$3:$G$6,1))</f>
        <v>Moyen</v>
      </c>
      <c r="H11" s="2" t="s">
        <v>69</v>
      </c>
      <c r="I11" s="2" t="s">
        <v>19</v>
      </c>
      <c r="J11" s="2" t="s">
        <v>70</v>
      </c>
      <c r="K11" s="2" t="s">
        <v>71</v>
      </c>
      <c r="L11" s="2" t="s">
        <v>22</v>
      </c>
      <c r="M11" s="2" t="str">
        <f aca="false">IF(OR(L11="Élevé",L11="Critique"),"Non acceptable : plan d’action requis",IF(L11="Moyen","À valider par le propriétaire métier","Acceptable sans validation"))</f>
        <v>Acceptable sans validation</v>
      </c>
    </row>
    <row r="12" customFormat="false" ht="28.35" hidden="false" customHeight="false" outlineLevel="0" collapsed="false">
      <c r="A12" s="2" t="s">
        <v>72</v>
      </c>
      <c r="B12" s="2" t="s">
        <v>73</v>
      </c>
      <c r="C12" s="2" t="s">
        <v>15</v>
      </c>
      <c r="D12" s="2" t="s">
        <v>16</v>
      </c>
      <c r="E12" s="2" t="s">
        <v>30</v>
      </c>
      <c r="F12" s="2" t="n">
        <f aca="false">INDEX(Matrice!$B$3:$B$5,MATCH(D12,Matrice!$A$3:$A$5,0))*INDEX(Matrice!$E$3:$E$5,MATCH(E12,Matrice!$D$3:$D$5,0))</f>
        <v>4</v>
      </c>
      <c r="G12" s="2" t="str">
        <f aca="false">INDEX(Matrice!$H$3:$H$6,MATCH(F12,Matrice!$G$3:$G$6,1))</f>
        <v>Moyen</v>
      </c>
      <c r="H12" s="2" t="s">
        <v>74</v>
      </c>
      <c r="I12" s="2" t="s">
        <v>75</v>
      </c>
      <c r="J12" s="2" t="s">
        <v>20</v>
      </c>
      <c r="K12" s="2" t="s">
        <v>76</v>
      </c>
      <c r="L12" s="2" t="s">
        <v>30</v>
      </c>
      <c r="M12" s="2" t="str">
        <f aca="false">IF(OR(L12="Élevé",L12="Critique"),"Non acceptable : plan d’action requis",IF(L12="Moyen","À valider par le propriétaire métier","Acceptable sans validation"))</f>
        <v>À valider par le propriétaire métier</v>
      </c>
    </row>
    <row r="13" customFormat="false" ht="28.35" hidden="false" customHeight="false" outlineLevel="0" collapsed="false">
      <c r="A13" s="2" t="s">
        <v>77</v>
      </c>
      <c r="B13" s="2" t="s">
        <v>78</v>
      </c>
      <c r="C13" s="2" t="s">
        <v>15</v>
      </c>
      <c r="D13" s="2" t="s">
        <v>16</v>
      </c>
      <c r="E13" s="2" t="s">
        <v>30</v>
      </c>
      <c r="F13" s="2" t="n">
        <f aca="false">INDEX(Matrice!$B$3:$B$5,MATCH(D13,Matrice!$A$3:$A$5,0))*INDEX(Matrice!$E$3:$E$5,MATCH(E13,Matrice!$D$3:$D$5,0))</f>
        <v>4</v>
      </c>
      <c r="G13" s="2" t="str">
        <f aca="false">INDEX(Matrice!$H$3:$H$6,MATCH(F13,Matrice!$G$3:$G$6,1))</f>
        <v>Moyen</v>
      </c>
      <c r="H13" s="2" t="s">
        <v>79</v>
      </c>
      <c r="I13" s="2" t="s">
        <v>75</v>
      </c>
      <c r="J13" s="2" t="s">
        <v>20</v>
      </c>
      <c r="K13" s="2" t="s">
        <v>80</v>
      </c>
      <c r="L13" s="2" t="s">
        <v>30</v>
      </c>
      <c r="M13" s="2" t="str">
        <f aca="false">IF(OR(L13="Élevé",L13="Critique"),"Non acceptable : plan d’action requis",IF(L13="Moyen","À valider par le propriétaire métier","Acceptable sans validation"))</f>
        <v>À valider par le propriétaire métier</v>
      </c>
    </row>
    <row r="14" customFormat="false" ht="28.35" hidden="false" customHeight="false" outlineLevel="0" collapsed="false">
      <c r="A14" s="2" t="s">
        <v>81</v>
      </c>
      <c r="B14" s="2" t="s">
        <v>82</v>
      </c>
      <c r="C14" s="2" t="s">
        <v>43</v>
      </c>
      <c r="D14" s="2" t="s">
        <v>22</v>
      </c>
      <c r="E14" s="2" t="s">
        <v>30</v>
      </c>
      <c r="F14" s="2" t="n">
        <f aca="false">INDEX(Matrice!$B$3:$B$5,MATCH(D14,Matrice!$A$3:$A$5,0))*INDEX(Matrice!$E$3:$E$5,MATCH(E14,Matrice!$D$3:$D$5,0))</f>
        <v>2</v>
      </c>
      <c r="G14" s="2" t="str">
        <f aca="false">INDEX(Matrice!$H$3:$H$6,MATCH(F14,Matrice!$G$3:$G$6,1))</f>
        <v>Faible</v>
      </c>
      <c r="H14" s="2" t="s">
        <v>83</v>
      </c>
      <c r="I14" s="2" t="s">
        <v>75</v>
      </c>
      <c r="J14" s="2" t="s">
        <v>45</v>
      </c>
      <c r="K14" s="2" t="s">
        <v>84</v>
      </c>
      <c r="L14" s="2" t="s">
        <v>22</v>
      </c>
      <c r="M14" s="2" t="str">
        <f aca="false">IF(OR(L14="Élevé",L14="Critique"),"Non acceptable : plan d’action requis",IF(L14="Moyen","À valider par le propriétaire métier","Acceptable sans validation"))</f>
        <v>Acceptable sans validation</v>
      </c>
    </row>
  </sheetData>
  <autoFilter ref="A1:M14"/>
  <conditionalFormatting sqref="G2:G34">
    <cfRule type="expression" priority="2" aboveAverage="0" equalAverage="0" bottom="0" percent="0" rank="0" text="" dxfId="8">
      <formula>G2="Critique"</formula>
    </cfRule>
    <cfRule type="expression" priority="3" aboveAverage="0" equalAverage="0" bottom="0" percent="0" rank="0" text="" dxfId="9">
      <formula>G2="Élevé"</formula>
    </cfRule>
    <cfRule type="expression" priority="4" aboveAverage="0" equalAverage="0" bottom="0" percent="0" rank="0" text="" dxfId="10">
      <formula>G2="Moyen"</formula>
    </cfRule>
    <cfRule type="expression" priority="5" aboveAverage="0" equalAverage="0" bottom="0" percent="0" rank="0" text="" dxfId="11">
      <formula>G2="Faible"</formula>
    </cfRule>
  </conditionalFormatting>
  <conditionalFormatting sqref="L2:L34">
    <cfRule type="expression" priority="6" aboveAverage="0" equalAverage="0" bottom="0" percent="0" rank="0" text="" dxfId="8">
      <formula>L2="Critique"</formula>
    </cfRule>
    <cfRule type="expression" priority="7" aboveAverage="0" equalAverage="0" bottom="0" percent="0" rank="0" text="" dxfId="9">
      <formula>L2="Élevé"</formula>
    </cfRule>
    <cfRule type="expression" priority="8" aboveAverage="0" equalAverage="0" bottom="0" percent="0" rank="0" text="" dxfId="10">
      <formula>L2="Moyen"</formula>
    </cfRule>
    <cfRule type="expression" priority="9" aboveAverage="0" equalAverage="0" bottom="0" percent="0" rank="0" text="" dxfId="11">
      <formula>L2="Faible"</formula>
    </cfRule>
  </conditionalFormatting>
  <dataValidations count="4">
    <dataValidation allowBlank="false" errorStyle="stop" operator="between" showDropDown="false" showErrorMessage="false" showInputMessage="false" sqref="D2:D34" type="list">
      <formula1>"Faible,Moyenne,Élevée"</formula1>
      <formula2>0</formula2>
    </dataValidation>
    <dataValidation allowBlank="false" errorStyle="stop" operator="between" showDropDown="false" showErrorMessage="false" showInputMessage="false" sqref="E2:E34" type="list">
      <formula1>"Faible,Moyen,Élevé"</formula1>
      <formula2>0</formula2>
    </dataValidation>
    <dataValidation allowBlank="false" errorStyle="stop" operator="between" showDropDown="false" showErrorMessage="false" showInputMessage="false" sqref="L2:L34" type="list">
      <formula1>"Faible,Moyen,Élevé,Critique"</formula1>
      <formula2>0</formula2>
    </dataValidation>
    <dataValidation allowBlank="false" errorStyle="stop" operator="between" showDropDown="false" showErrorMessage="false" showInputMessage="false" sqref="I2:I34" type="list">
      <formula1>"En place,Planifiée"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3" t="s">
        <v>3</v>
      </c>
      <c r="D1" s="3" t="s">
        <v>4</v>
      </c>
      <c r="G1" s="3" t="s">
        <v>85</v>
      </c>
    </row>
    <row r="2" customFormat="false" ht="15" hidden="false" customHeight="false" outlineLevel="0" collapsed="false">
      <c r="A2" s="4" t="s">
        <v>3</v>
      </c>
      <c r="B2" s="4" t="s">
        <v>5</v>
      </c>
      <c r="D2" s="4" t="s">
        <v>4</v>
      </c>
      <c r="E2" s="4" t="s">
        <v>5</v>
      </c>
      <c r="G2" s="4" t="s">
        <v>86</v>
      </c>
      <c r="H2" s="4" t="s">
        <v>6</v>
      </c>
    </row>
    <row r="3" customFormat="false" ht="15" hidden="false" customHeight="false" outlineLevel="0" collapsed="false">
      <c r="A3" s="5" t="s">
        <v>22</v>
      </c>
      <c r="B3" s="5" t="n">
        <v>1</v>
      </c>
      <c r="D3" s="5" t="s">
        <v>22</v>
      </c>
      <c r="E3" s="5" t="n">
        <v>1</v>
      </c>
      <c r="G3" s="5" t="n">
        <v>1</v>
      </c>
      <c r="H3" s="5" t="s">
        <v>22</v>
      </c>
    </row>
    <row r="4" customFormat="false" ht="15" hidden="false" customHeight="false" outlineLevel="0" collapsed="false">
      <c r="A4" s="5" t="s">
        <v>16</v>
      </c>
      <c r="B4" s="5" t="n">
        <v>2</v>
      </c>
      <c r="D4" s="5" t="s">
        <v>30</v>
      </c>
      <c r="E4" s="5" t="n">
        <v>2</v>
      </c>
      <c r="G4" s="5" t="n">
        <v>3</v>
      </c>
      <c r="H4" s="5" t="s">
        <v>30</v>
      </c>
    </row>
    <row r="5" customFormat="false" ht="15" hidden="false" customHeight="false" outlineLevel="0" collapsed="false">
      <c r="A5" s="5" t="s">
        <v>26</v>
      </c>
      <c r="B5" s="5" t="n">
        <v>3</v>
      </c>
      <c r="D5" s="5" t="s">
        <v>17</v>
      </c>
      <c r="E5" s="5" t="n">
        <v>3</v>
      </c>
      <c r="G5" s="5" t="n">
        <v>6</v>
      </c>
      <c r="H5" s="5" t="s">
        <v>17</v>
      </c>
    </row>
    <row r="6" customFormat="false" ht="15" hidden="false" customHeight="false" outlineLevel="0" collapsed="false">
      <c r="G6" s="5" t="n">
        <v>9</v>
      </c>
      <c r="H6" s="5" t="s">
        <v>87</v>
      </c>
    </row>
    <row r="9" customFormat="false" ht="15" hidden="false" customHeight="false" outlineLevel="0" collapsed="false">
      <c r="A9" s="3" t="s">
        <v>88</v>
      </c>
    </row>
    <row r="10" customFormat="false" ht="15" hidden="false" customHeight="false" outlineLevel="0" collapsed="false">
      <c r="A10" s="4" t="s">
        <v>89</v>
      </c>
      <c r="B10" s="4" t="str">
        <f aca="false">D3</f>
        <v>Faible</v>
      </c>
      <c r="C10" s="4" t="str">
        <f aca="false">D4</f>
        <v>Moyen</v>
      </c>
      <c r="D10" s="4" t="str">
        <f aca="false">D5</f>
        <v>Élevé</v>
      </c>
    </row>
    <row r="11" customFormat="false" ht="15" hidden="false" customHeight="false" outlineLevel="0" collapsed="false">
      <c r="A11" s="5" t="str">
        <f aca="false">A3</f>
        <v>Faible</v>
      </c>
      <c r="B11" s="5" t="str">
        <f aca="false">INDEX($H$3:$H$6,MATCH(INDEX($B$3:$B$5,MATCH($A11,$A$3:$A$5,0))*INDEX($E$3:$E$5,MATCH(B$10,$D$3:$D$5,0)),$G$3:$G$6,1))</f>
        <v>Faible</v>
      </c>
      <c r="C11" s="5" t="str">
        <f aca="false">INDEX($H$3:$H$6,MATCH(INDEX($B$3:$B$5,MATCH($A11,$A$3:$A$5,0))*INDEX($E$3:$E$5,MATCH(C$10,$D$3:$D$5,0)),$G$3:$G$6,1))</f>
        <v>Faible</v>
      </c>
      <c r="D11" s="5" t="str">
        <f aca="false">INDEX($H$3:$H$6,MATCH(INDEX($B$3:$B$5,MATCH($A11,$A$3:$A$5,0))*INDEX($E$3:$E$5,MATCH(D$10,$D$3:$D$5,0)),$G$3:$G$6,1))</f>
        <v>Moyen</v>
      </c>
    </row>
    <row r="12" customFormat="false" ht="15" hidden="false" customHeight="false" outlineLevel="0" collapsed="false">
      <c r="A12" s="5" t="str">
        <f aca="false">A4</f>
        <v>Moyenne</v>
      </c>
      <c r="B12" s="5" t="str">
        <f aca="false">INDEX($H$3:$H$6,MATCH(INDEX($B$3:$B$5,MATCH($A12,$A$3:$A$5,0))*INDEX($E$3:$E$5,MATCH(B$10,$D$3:$D$5,0)),$G$3:$G$6,1))</f>
        <v>Faible</v>
      </c>
      <c r="C12" s="5" t="str">
        <f aca="false">INDEX($H$3:$H$6,MATCH(INDEX($B$3:$B$5,MATCH($A12,$A$3:$A$5,0))*INDEX($E$3:$E$5,MATCH(C$10,$D$3:$D$5,0)),$G$3:$G$6,1))</f>
        <v>Moyen</v>
      </c>
      <c r="D12" s="5" t="str">
        <f aca="false">INDEX($H$3:$H$6,MATCH(INDEX($B$3:$B$5,MATCH($A12,$A$3:$A$5,0))*INDEX($E$3:$E$5,MATCH(D$10,$D$3:$D$5,0)),$G$3:$G$6,1))</f>
        <v>Élevé</v>
      </c>
    </row>
    <row r="13" customFormat="false" ht="15" hidden="false" customHeight="false" outlineLevel="0" collapsed="false">
      <c r="A13" s="5" t="str">
        <f aca="false">A5</f>
        <v>Élevée</v>
      </c>
      <c r="B13" s="5" t="str">
        <f aca="false">INDEX($H$3:$H$6,MATCH(INDEX($B$3:$B$5,MATCH($A13,$A$3:$A$5,0))*INDEX($E$3:$E$5,MATCH(B$10,$D$3:$D$5,0)),$G$3:$G$6,1))</f>
        <v>Moyen</v>
      </c>
      <c r="C13" s="5" t="str">
        <f aca="false">INDEX($H$3:$H$6,MATCH(INDEX($B$3:$B$5,MATCH($A13,$A$3:$A$5,0))*INDEX($E$3:$E$5,MATCH(C$10,$D$3:$D$5,0)),$G$3:$G$6,1))</f>
        <v>Élevé</v>
      </c>
      <c r="D13" s="5" t="str">
        <f aca="false">INDEX($H$3:$H$6,MATCH(INDEX($B$3:$B$5,MATCH($A13,$A$3:$A$5,0))*INDEX($E$3:$E$5,MATCH(D$10,$D$3:$D$5,0)),$G$3:$G$6,1))</f>
        <v>Critique</v>
      </c>
    </row>
    <row r="16" customFormat="false" ht="15" hidden="false" customHeight="false" outlineLevel="0" collapsed="false">
      <c r="A16" s="3" t="s">
        <v>90</v>
      </c>
    </row>
    <row r="17" customFormat="false" ht="15" hidden="false" customHeight="false" outlineLevel="0" collapsed="false">
      <c r="A17" s="5" t="s">
        <v>91</v>
      </c>
    </row>
    <row r="18" customFormat="false" ht="15" hidden="false" customHeight="false" outlineLevel="0" collapsed="false">
      <c r="A18" s="5" t="s">
        <v>92</v>
      </c>
    </row>
    <row r="19" customFormat="false" ht="15" hidden="false" customHeight="false" outlineLevel="0" collapsed="false">
      <c r="A19" s="5" t="s">
        <v>93</v>
      </c>
    </row>
    <row r="20" customFormat="false" ht="15" hidden="false" customHeight="false" outlineLevel="0" collapsed="false">
      <c r="A20" s="5" t="s">
        <v>94</v>
      </c>
    </row>
    <row r="21" customFormat="false" ht="15" hidden="false" customHeight="false" outlineLevel="0" collapsed="false">
      <c r="A21" s="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2026-10-14T14:36:02Z</dcterms:created>
  <dc:creator>openpyxl</dc:creator>
  <dc:description/>
  <dc:language>en-US</dc:language>
  <cp:lastModifiedBy/>
  <dcterms:modified xsi:type="dcterms:W3CDTF">2026-10-14T14:36:03Z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